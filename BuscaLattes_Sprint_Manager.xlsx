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ejamento da Sprint" sheetId="1" state="visible" r:id="rId3"/>
    <sheet name="Burndown Char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<sst xmlns="http://schemas.openxmlformats.org/spreadsheetml/2006/main" count="142" uniqueCount="94">
  <si>
    <t xml:space="preserve">🔍  BUSCALATTES — GERENCIAMENTO DE SPRINTS</t>
  </si>
  <si>
    <t xml:space="preserve">UNEB · Tópicos Especiais em Engenharia de Software · 2026</t>
  </si>
  <si>
    <t xml:space="preserve">ID</t>
  </si>
  <si>
    <t xml:space="preserve">Épico</t>
  </si>
  <si>
    <t xml:space="preserve">História de Usuário</t>
  </si>
  <si>
    <t xml:space="preserve">Responsável</t>
  </si>
  <si>
    <t xml:space="preserve">Sprint</t>
  </si>
  <si>
    <t xml:space="preserve">Prioridade</t>
  </si>
  <si>
    <t xml:space="preserve">Pontos</t>
  </si>
  <si>
    <t xml:space="preserve">Status</t>
  </si>
  <si>
    <t xml:space="preserve">Início</t>
  </si>
  <si>
    <t xml:space="preserve">Fim Previsto</t>
  </si>
  <si>
    <t xml:space="preserve">Fim Real</t>
  </si>
  <si>
    <t xml:space="preserve">Observações</t>
  </si>
  <si>
    <t xml:space="preserve">US-10</t>
  </si>
  <si>
    <t xml:space="preserve">Sprint I – Análise</t>
  </si>
  <si>
    <t xml:space="preserve">Análise e Especificação (Sprint I)</t>
  </si>
  <si>
    <t xml:space="preserve">Equipe</t>
  </si>
  <si>
    <t xml:space="preserve">Sprint I</t>
  </si>
  <si>
    <t xml:space="preserve">Must Have</t>
  </si>
  <si>
    <t xml:space="preserve">Concluído</t>
  </si>
  <si>
    <t xml:space="preserve">01/05/2026</t>
  </si>
  <si>
    <t xml:space="preserve">15/05/2026</t>
  </si>
  <si>
    <t xml:space="preserve">Documento Sprint I entregue</t>
  </si>
  <si>
    <t xml:space="preserve">US-01</t>
  </si>
  <si>
    <t xml:space="preserve">Ép.1 – Pesquisadores</t>
  </si>
  <si>
    <t xml:space="preserve">Importar XML Lattes (ETL)</t>
  </si>
  <si>
    <t xml:space="preserve">Dev Backend</t>
  </si>
  <si>
    <t xml:space="preserve">Sprint II</t>
  </si>
  <si>
    <t xml:space="preserve">A Fazer</t>
  </si>
  <si>
    <t xml:space="preserve">18/05/2026</t>
  </si>
  <si>
    <t xml:space="preserve">31/05/2026</t>
  </si>
  <si>
    <t xml:space="preserve">Pipeline Apache Hop</t>
  </si>
  <si>
    <t xml:space="preserve">US-06</t>
  </si>
  <si>
    <t xml:space="preserve">Ép.3 – Qualis CAPES</t>
  </si>
  <si>
    <t xml:space="preserve">Importar Dados do Qualis CAPES</t>
  </si>
  <si>
    <t xml:space="preserve">Should Have</t>
  </si>
  <si>
    <t xml:space="preserve">CSV/XLSX → PostgreSQL</t>
  </si>
  <si>
    <t xml:space="preserve">US-02</t>
  </si>
  <si>
    <t xml:space="preserve">Listar Pesquisadores Cadastrados</t>
  </si>
  <si>
    <t xml:space="preserve">Dev Full</t>
  </si>
  <si>
    <t xml:space="preserve">Sprint III</t>
  </si>
  <si>
    <t xml:space="preserve">01/06/2026</t>
  </si>
  <si>
    <t xml:space="preserve">21/06/2026</t>
  </si>
  <si>
    <t xml:space="preserve">Paginação 20 itens/pág</t>
  </si>
  <si>
    <t xml:space="preserve">US-03</t>
  </si>
  <si>
    <t xml:space="preserve">Ép.2 – Produções</t>
  </si>
  <si>
    <t xml:space="preserve">Busca Full-Text Search (FTS)</t>
  </si>
  <si>
    <t xml:space="preserve">tsvector / tsquery / GIN</t>
  </si>
  <si>
    <t xml:space="preserve">US-04</t>
  </si>
  <si>
    <t xml:space="preserve">Busca Semântica com IA Generativa</t>
  </si>
  <si>
    <t xml:space="preserve">Dev IA</t>
  </si>
  <si>
    <t xml:space="preserve">LangChain + pgvector + RAG</t>
  </si>
  <si>
    <t xml:space="preserve">US-05</t>
  </si>
  <si>
    <t xml:space="preserve">Listar Produções por Pesquisador</t>
  </si>
  <si>
    <t xml:space="preserve">Filtro por ano e tipo</t>
  </si>
  <si>
    <t xml:space="preserve">US-09</t>
  </si>
  <si>
    <t xml:space="preserve">Ép.5 – Front-End</t>
  </si>
  <si>
    <t xml:space="preserve">API REST + Interface Next.js</t>
  </si>
  <si>
    <t xml:space="preserve">Dev Front</t>
  </si>
  <si>
    <t xml:space="preserve">Sprint IV</t>
  </si>
  <si>
    <t xml:space="preserve">22/06/2026</t>
  </si>
  <si>
    <t xml:space="preserve">12/07/2026</t>
  </si>
  <si>
    <t xml:space="preserve">Next.js 14 + consumo API</t>
  </si>
  <si>
    <t xml:space="preserve">US-07</t>
  </si>
  <si>
    <t xml:space="preserve">Ép.4 – Analítico</t>
  </si>
  <si>
    <t xml:space="preserve">Exportar CSV Analítico</t>
  </si>
  <si>
    <t xml:space="preserve">Sprint V</t>
  </si>
  <si>
    <t xml:space="preserve">13/07/2026</t>
  </si>
  <si>
    <t xml:space="preserve">27/07/2026</t>
  </si>
  <si>
    <t xml:space="preserve">Endpoint REST → CSV Power BI</t>
  </si>
  <si>
    <t xml:space="preserve">US-08</t>
  </si>
  <si>
    <t xml:space="preserve">Dashboard Power BI</t>
  </si>
  <si>
    <t xml:space="preserve">Analista</t>
  </si>
  <si>
    <t xml:space="preserve">Dimensões: Quadriênio, Pesq., Inst.</t>
  </si>
  <si>
    <t xml:space="preserve">RESUMO DO BACKLOG</t>
  </si>
  <si>
    <t xml:space="preserve">Total de Story Points</t>
  </si>
  <si>
    <t xml:space="preserve">Sprint I (Concluído)</t>
  </si>
  <si>
    <t xml:space="preserve">Pontos Restantes</t>
  </si>
  <si>
    <t xml:space="preserve">📉  BURNDOWN CHART — BUSCALATTES (Todas as Sprints)</t>
  </si>
  <si>
    <t xml:space="preserve">Velocidade planejada vs. real · Total: 86 pontos</t>
  </si>
  <si>
    <t xml:space="preserve">Sprint / Dia</t>
  </si>
  <si>
    <t xml:space="preserve">Pts Ideal Restantes</t>
  </si>
  <si>
    <t xml:space="preserve">Pts Real Restantes</t>
  </si>
  <si>
    <t xml:space="preserve">Pts Entregues</t>
  </si>
  <si>
    <t xml:space="preserve">Velocidade (pts/sprint)</t>
  </si>
  <si>
    <t xml:space="preserve">Início (Pré-Sprint I)</t>
  </si>
  <si>
    <t xml:space="preserve">—</t>
  </si>
  <si>
    <t xml:space="preserve">Sprint I  (concluído)</t>
  </si>
  <si>
    <t xml:space="preserve">Sprint II  (planejado)</t>
  </si>
  <si>
    <t xml:space="preserve">Sprint III (planejado)</t>
  </si>
  <si>
    <t xml:space="preserve">Sprint IV  (planejado)</t>
  </si>
  <si>
    <t xml:space="preserve">Sprint V   (planejado)</t>
  </si>
  <si>
    <t xml:space="preserve">ℹ️  Linha azul = planejado ideal  |  Linha vermelha tracejada = progresso real  |  Sprints futuros: preencher Pts Real Restantes à medida que a sprint avança.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</si>
</sst>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5375D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2E75B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6375E"/>
        <bgColor rgb="FF15375D"/>
      </patternFill>
    </fill>
    <fill>
      <patternFill patternType="solid">
        <fgColor rgb="FF1F3864"/>
        <bgColor rgb="FF16375E"/>
      </patternFill>
    </fill>
    <fill>
      <patternFill patternType="solid">
        <fgColor rgb="FFFFFFFF"/>
        <bgColor rgb="FFF2F7FB"/>
      </patternFill>
    </fill>
    <fill>
      <patternFill patternType="solid">
        <fgColor rgb="FFE2EFDA"/>
        <bgColor rgb="FFF2F7FB"/>
      </patternFill>
    </fill>
    <fill>
      <patternFill patternType="solid">
        <fgColor rgb="FFF2F7FB"/>
        <bgColor rgb="FFFFFFFF"/>
      </patternFill>
    </fill>
    <fill>
      <patternFill patternType="solid">
        <fgColor rgb="FFFCE4D6"/>
        <bgColor rgb="FFE2EFDA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78787"/>
      <rgbColor rgb="FFAAAAAA"/>
      <rgbColor rgb="FF993366"/>
      <rgbColor rgb="FFF2F7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888888"/>
      <rgbColor rgb="FF15375D"/>
      <rgbColor rgb="FF339966"/>
      <rgbColor rgb="FF003300"/>
      <rgbColor rgb="FF333300"/>
      <rgbColor rgb="FF993300"/>
      <rgbColor rgb="FF993366"/>
      <rgbColor rgb="FF16375E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— BuscaLattes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'Burndown Chart'!B4</c:f>
              <c:strCache>
                <c:ptCount val="1"/>
                <c:pt idx="0">
                  <c:v>Pts Ideal Restantes</c:v>
                </c:pt>
              </c:strCache>
            </c:strRef>
          </c:tx>
          <c:spPr>
            <a:solidFill>
              <a:srgbClr val="2e75b6"/>
            </a:solidFill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Chart'!$A$5:$A$10</c:f>
              <c:strCache>
                <c:ptCount val="6"/>
                <c:pt idx="0">
                  <c:v>Início (Pré-Sprint I)</c:v>
                </c:pt>
                <c:pt idx="1">
                  <c:v>Sprint I  (concluído)</c:v>
                </c:pt>
                <c:pt idx="2">
                  <c:v>Sprint II  (planejado)</c:v>
                </c:pt>
                <c:pt idx="3">
                  <c:v>Sprint III (planejado)</c:v>
                </c:pt>
                <c:pt idx="4">
                  <c:v>Sprint IV  (planejado)</c:v>
                </c:pt>
                <c:pt idx="5">
                  <c:v>Sprint V   (planejado)</c:v>
                </c:pt>
              </c:strCache>
            </c:strRef>
          </c:cat>
          <c:val>
            <c:numRef>
              <c:f>'Burndown Chart'!$B$5:$B$10</c:f>
              <c:numCache>
                <c:formatCode>General</c:formatCode>
                <c:ptCount val="6"/>
                <c:pt idx="0">
                  <c:v>86</c:v>
                </c:pt>
                <c:pt idx="1">
                  <c:v>73</c:v>
                </c:pt>
                <c:pt idx="2">
                  <c:v>52</c:v>
                </c:pt>
                <c:pt idx="3">
                  <c:v>21</c:v>
                </c:pt>
                <c:pt idx="4">
                  <c:v>13</c:v>
                </c:pt>
                <c:pt idx="5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'Burndown Chart'!C4</c:f>
              <c:strCache>
                <c:ptCount val="1"/>
                <c:pt idx="0">
                  <c:v>Pts Real Restantes</c:v>
                </c:pt>
              </c:strCache>
            </c:strRef>
          </c:tx>
          <c:spPr>
            <a:solidFill>
              <a:srgbClr val="ff0000"/>
            </a:solidFill>
            <a:ln w="201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Chart'!$A$5:$A$10</c:f>
              <c:strCache>
                <c:ptCount val="6"/>
                <c:pt idx="0">
                  <c:v>Início (Pré-Sprint I)</c:v>
                </c:pt>
                <c:pt idx="1">
                  <c:v>Sprint I  (concluído)</c:v>
                </c:pt>
                <c:pt idx="2">
                  <c:v>Sprint II  (planejado)</c:v>
                </c:pt>
                <c:pt idx="3">
                  <c:v>Sprint III (planejado)</c:v>
                </c:pt>
                <c:pt idx="4">
                  <c:v>Sprint IV  (planejado)</c:v>
                </c:pt>
                <c:pt idx="5">
                  <c:v>Sprint V   (planejado)</c:v>
                </c:pt>
              </c:strCache>
            </c:strRef>
          </c:cat>
          <c:val>
            <c:numRef>
              <c:f>'Burndown Chart'!$C$5:$C$10</c:f>
              <c:numCache>
                <c:formatCode>General</c:formatCode>
                <c:ptCount val="6"/>
                <c:pt idx="0">
                  <c:v>86</c:v>
                </c:pt>
                <c:pt idx="1">
                  <c:v>73</c:v>
                </c:pt>
                <c:pt idx="2">
                  <c:v>52</c:v>
                </c:pt>
                <c:pt idx="3">
                  <c:v>21</c:v>
                </c:pt>
                <c:pt idx="4">
                  <c:v>13</c:v>
                </c:pt>
                <c:pt idx="5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5272524"/>
        <c:axId val="4997411"/>
      </c:lineChart>
      <c:catAx>
        <c:axId val="352725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7411"/>
        <c:crosses val="autoZero"/>
        <c:auto val="1"/>
        <c:lblAlgn val="ctr"/>
        <c:lblOffset val="100"/>
        <c:noMultiLvlLbl val="0"/>
      </c:catAx>
      <c:valAx>
        <c:axId val="49974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Story Points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725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5</xdr:col>
      <xdr:colOff>307080</xdr:colOff>
      <xdr:row>36</xdr:row>
      <xdr:rowOff>67320</xdr:rowOff>
    </xdr:to>
    <xdr:graphicFrame>
      <xdr:nvGraphicFramePr>
        <xdr:cNvPr id="0" name="Chart 1"/>
        <xdr:cNvGraphicFramePr/>
      </xdr:nvGraphicFramePr>
      <xdr:xfrm>
        <a:off x="0" y="28764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1.75" hidden="false" customHeight="true" outlineLevel="0" collapsed="false">
      <c r="A5" s="4" t="s">
        <v>14</v>
      </c>
      <c r="B5" s="5" t="s">
        <v>15</v>
      </c>
      <c r="C5" s="5" t="s">
        <v>16</v>
      </c>
      <c r="D5" s="5" t="s">
        <v>17</v>
      </c>
      <c r="E5" s="6" t="s">
        <v>18</v>
      </c>
      <c r="F5" s="6" t="s">
        <v>19</v>
      </c>
      <c r="G5" s="7" t="n">
        <v>13</v>
      </c>
      <c r="H5" s="8" t="s">
        <v>20</v>
      </c>
      <c r="I5" s="6" t="s">
        <v>21</v>
      </c>
      <c r="J5" s="6" t="s">
        <v>22</v>
      </c>
      <c r="K5" s="6" t="s">
        <v>22</v>
      </c>
      <c r="L5" s="9" t="s">
        <v>23</v>
      </c>
    </row>
    <row r="6" customFormat="false" ht="21.75" hidden="false" customHeight="true" outlineLevel="0" collapsed="false">
      <c r="A6" s="10" t="s">
        <v>24</v>
      </c>
      <c r="B6" s="11" t="s">
        <v>25</v>
      </c>
      <c r="C6" s="11" t="s">
        <v>26</v>
      </c>
      <c r="D6" s="11" t="s">
        <v>27</v>
      </c>
      <c r="E6" s="12" t="s">
        <v>28</v>
      </c>
      <c r="F6" s="12" t="s">
        <v>19</v>
      </c>
      <c r="G6" s="13" t="n">
        <v>13</v>
      </c>
      <c r="H6" s="14" t="s">
        <v>29</v>
      </c>
      <c r="I6" s="12" t="s">
        <v>30</v>
      </c>
      <c r="J6" s="12" t="s">
        <v>31</v>
      </c>
      <c r="K6" s="12"/>
      <c r="L6" s="15" t="s">
        <v>32</v>
      </c>
    </row>
    <row r="7" customFormat="false" ht="21.75" hidden="false" customHeight="true" outlineLevel="0" collapsed="false">
      <c r="A7" s="4" t="s">
        <v>33</v>
      </c>
      <c r="B7" s="5" t="s">
        <v>34</v>
      </c>
      <c r="C7" s="5" t="s">
        <v>35</v>
      </c>
      <c r="D7" s="5" t="s">
        <v>27</v>
      </c>
      <c r="E7" s="6" t="s">
        <v>28</v>
      </c>
      <c r="F7" s="6" t="s">
        <v>36</v>
      </c>
      <c r="G7" s="7" t="n">
        <v>8</v>
      </c>
      <c r="H7" s="14" t="s">
        <v>29</v>
      </c>
      <c r="I7" s="6" t="s">
        <v>30</v>
      </c>
      <c r="J7" s="6" t="s">
        <v>31</v>
      </c>
      <c r="K7" s="6"/>
      <c r="L7" s="9" t="s">
        <v>37</v>
      </c>
    </row>
    <row r="8" customFormat="false" ht="21.75" hidden="false" customHeight="true" outlineLevel="0" collapsed="false">
      <c r="A8" s="10" t="s">
        <v>38</v>
      </c>
      <c r="B8" s="11" t="s">
        <v>25</v>
      </c>
      <c r="C8" s="11" t="s">
        <v>39</v>
      </c>
      <c r="D8" s="11" t="s">
        <v>40</v>
      </c>
      <c r="E8" s="12" t="s">
        <v>41</v>
      </c>
      <c r="F8" s="12" t="s">
        <v>19</v>
      </c>
      <c r="G8" s="13" t="n">
        <v>5</v>
      </c>
      <c r="H8" s="14" t="s">
        <v>29</v>
      </c>
      <c r="I8" s="12" t="s">
        <v>42</v>
      </c>
      <c r="J8" s="12" t="s">
        <v>43</v>
      </c>
      <c r="K8" s="12"/>
      <c r="L8" s="15" t="s">
        <v>44</v>
      </c>
    </row>
    <row r="9" customFormat="false" ht="21.75" hidden="false" customHeight="true" outlineLevel="0" collapsed="false">
      <c r="A9" s="4" t="s">
        <v>45</v>
      </c>
      <c r="B9" s="5" t="s">
        <v>46</v>
      </c>
      <c r="C9" s="5" t="s">
        <v>47</v>
      </c>
      <c r="D9" s="5" t="s">
        <v>27</v>
      </c>
      <c r="E9" s="6" t="s">
        <v>41</v>
      </c>
      <c r="F9" s="6" t="s">
        <v>19</v>
      </c>
      <c r="G9" s="7" t="n">
        <v>8</v>
      </c>
      <c r="H9" s="14" t="s">
        <v>29</v>
      </c>
      <c r="I9" s="6" t="s">
        <v>42</v>
      </c>
      <c r="J9" s="6" t="s">
        <v>43</v>
      </c>
      <c r="K9" s="6"/>
      <c r="L9" s="9" t="s">
        <v>48</v>
      </c>
    </row>
    <row r="10" customFormat="false" ht="21.75" hidden="false" customHeight="true" outlineLevel="0" collapsed="false">
      <c r="A10" s="10" t="s">
        <v>49</v>
      </c>
      <c r="B10" s="11" t="s">
        <v>46</v>
      </c>
      <c r="C10" s="11" t="s">
        <v>50</v>
      </c>
      <c r="D10" s="11" t="s">
        <v>51</v>
      </c>
      <c r="E10" s="12" t="s">
        <v>41</v>
      </c>
      <c r="F10" s="12" t="s">
        <v>19</v>
      </c>
      <c r="G10" s="13" t="n">
        <v>13</v>
      </c>
      <c r="H10" s="14" t="s">
        <v>29</v>
      </c>
      <c r="I10" s="12" t="s">
        <v>42</v>
      </c>
      <c r="J10" s="12" t="s">
        <v>43</v>
      </c>
      <c r="K10" s="12"/>
      <c r="L10" s="15" t="s">
        <v>52</v>
      </c>
    </row>
    <row r="11" customFormat="false" ht="21.75" hidden="false" customHeight="true" outlineLevel="0" collapsed="false">
      <c r="A11" s="4" t="s">
        <v>53</v>
      </c>
      <c r="B11" s="5" t="s">
        <v>46</v>
      </c>
      <c r="C11" s="5" t="s">
        <v>54</v>
      </c>
      <c r="D11" s="5" t="s">
        <v>40</v>
      </c>
      <c r="E11" s="6" t="s">
        <v>41</v>
      </c>
      <c r="F11" s="6" t="s">
        <v>19</v>
      </c>
      <c r="G11" s="7" t="n">
        <v>5</v>
      </c>
      <c r="H11" s="14" t="s">
        <v>29</v>
      </c>
      <c r="I11" s="6" t="s">
        <v>42</v>
      </c>
      <c r="J11" s="6" t="s">
        <v>43</v>
      </c>
      <c r="K11" s="6"/>
      <c r="L11" s="9" t="s">
        <v>55</v>
      </c>
    </row>
    <row r="12" customFormat="false" ht="21.75" hidden="false" customHeight="true" outlineLevel="0" collapsed="false">
      <c r="A12" s="10" t="s">
        <v>56</v>
      </c>
      <c r="B12" s="11" t="s">
        <v>57</v>
      </c>
      <c r="C12" s="11" t="s">
        <v>58</v>
      </c>
      <c r="D12" s="11" t="s">
        <v>59</v>
      </c>
      <c r="E12" s="12" t="s">
        <v>60</v>
      </c>
      <c r="F12" s="12" t="s">
        <v>19</v>
      </c>
      <c r="G12" s="13" t="n">
        <v>8</v>
      </c>
      <c r="H12" s="14" t="s">
        <v>29</v>
      </c>
      <c r="I12" s="12" t="s">
        <v>61</v>
      </c>
      <c r="J12" s="12" t="s">
        <v>62</v>
      </c>
      <c r="K12" s="12"/>
      <c r="L12" s="15" t="s">
        <v>63</v>
      </c>
    </row>
    <row r="13" customFormat="false" ht="21.75" hidden="false" customHeight="true" outlineLevel="0" collapsed="false">
      <c r="A13" s="4" t="s">
        <v>64</v>
      </c>
      <c r="B13" s="5" t="s">
        <v>65</v>
      </c>
      <c r="C13" s="5" t="s">
        <v>66</v>
      </c>
      <c r="D13" s="5" t="s">
        <v>27</v>
      </c>
      <c r="E13" s="6" t="s">
        <v>67</v>
      </c>
      <c r="F13" s="6" t="s">
        <v>36</v>
      </c>
      <c r="G13" s="7" t="n">
        <v>8</v>
      </c>
      <c r="H13" s="14" t="s">
        <v>29</v>
      </c>
      <c r="I13" s="6" t="s">
        <v>68</v>
      </c>
      <c r="J13" s="6" t="s">
        <v>69</v>
      </c>
      <c r="K13" s="6"/>
      <c r="L13" s="9" t="s">
        <v>70</v>
      </c>
    </row>
    <row r="14" customFormat="false" ht="21.75" hidden="false" customHeight="true" outlineLevel="0" collapsed="false">
      <c r="A14" s="10" t="s">
        <v>71</v>
      </c>
      <c r="B14" s="11" t="s">
        <v>65</v>
      </c>
      <c r="C14" s="11" t="s">
        <v>72</v>
      </c>
      <c r="D14" s="11" t="s">
        <v>73</v>
      </c>
      <c r="E14" s="12" t="s">
        <v>67</v>
      </c>
      <c r="F14" s="12" t="s">
        <v>36</v>
      </c>
      <c r="G14" s="13" t="n">
        <v>5</v>
      </c>
      <c r="H14" s="14" t="s">
        <v>29</v>
      </c>
      <c r="I14" s="12" t="s">
        <v>68</v>
      </c>
      <c r="J14" s="12" t="s">
        <v>69</v>
      </c>
      <c r="K14" s="12"/>
      <c r="L14" s="15" t="s">
        <v>74</v>
      </c>
    </row>
    <row r="15" customFormat="false" ht="9.75" hidden="false" customHeight="true" outlineLevel="0" collapsed="false"/>
    <row r="16" customFormat="false" ht="15" hidden="false" customHeight="false" outlineLevel="0" collapsed="false">
      <c r="A16" s="16" t="s">
        <v>75</v>
      </c>
      <c r="B16" s="16"/>
      <c r="C16" s="16"/>
    </row>
    <row r="17" customFormat="false" ht="19.5" hidden="false" customHeight="true" outlineLevel="0" collapsed="false">
      <c r="A17" s="17" t="s">
        <v>76</v>
      </c>
      <c r="B17" s="18" t="n">
        <f aca="false">SUM(G5:G14)</f>
        <v>86</v>
      </c>
      <c r="C17" s="19"/>
    </row>
    <row r="18" customFormat="false" ht="19.5" hidden="false" customHeight="true" outlineLevel="0" collapsed="false">
      <c r="A18" s="17" t="s">
        <v>77</v>
      </c>
      <c r="B18" s="20" t="n">
        <f aca="false">SUMIF(E5:E14,"Sprint I",G5:G14)</f>
        <v>13</v>
      </c>
      <c r="C18" s="19"/>
    </row>
    <row r="19" customFormat="false" ht="19.5" hidden="false" customHeight="true" outlineLevel="0" collapsed="false">
      <c r="A19" s="17" t="s">
        <v>28</v>
      </c>
      <c r="B19" s="20" t="n">
        <f aca="false">SUMIF(E5:E14,"Sprint II",G5:G14)</f>
        <v>21</v>
      </c>
      <c r="C19" s="19"/>
    </row>
    <row r="20" customFormat="false" ht="19.5" hidden="false" customHeight="true" outlineLevel="0" collapsed="false">
      <c r="A20" s="17" t="s">
        <v>41</v>
      </c>
      <c r="B20" s="20" t="n">
        <f aca="false">SUMIF(E5:E14,"Sprint III",G5:G14)</f>
        <v>31</v>
      </c>
      <c r="C20" s="19"/>
    </row>
    <row r="21" customFormat="false" ht="19.5" hidden="false" customHeight="true" outlineLevel="0" collapsed="false">
      <c r="A21" s="17" t="s">
        <v>60</v>
      </c>
      <c r="B21" s="20" t="n">
        <f aca="false">SUMIF(E5:E14,"Sprint IV",G5:G14)</f>
        <v>8</v>
      </c>
      <c r="C21" s="19"/>
    </row>
    <row r="22" customFormat="false" ht="19.5" hidden="false" customHeight="true" outlineLevel="0" collapsed="false">
      <c r="A22" s="17" t="s">
        <v>67</v>
      </c>
      <c r="B22" s="20" t="n">
        <f aca="false">SUMIF(E5:E14,"Sprint V",G5:G14)</f>
        <v>13</v>
      </c>
      <c r="C22" s="19"/>
    </row>
    <row r="23" customFormat="false" ht="19.5" hidden="false" customHeight="true" outlineLevel="0" collapsed="false">
      <c r="A23" s="17" t="s">
        <v>78</v>
      </c>
      <c r="B23" s="20" t="n">
        <f aca="false">B17-B18</f>
        <v>73</v>
      </c>
      <c r="C23" s="19"/>
    </row>
  </sheetData>
  <mergeCells count="3">
    <mergeCell ref="A1:L1"/>
    <mergeCell ref="A2:L2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4" min="4" style="0" width="18"/>
    <col collapsed="false" customWidth="true" hidden="false" outlineLevel="0" max="5" min="5" style="0" width="24"/>
  </cols>
  <sheetData>
    <row r="1" customFormat="false" ht="30" hidden="false" customHeight="true" outlineLevel="0" collapsed="false">
      <c r="A1" s="21" t="s">
        <v>79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15.75" hidden="false" customHeight="true" outlineLevel="0" collapsed="false">
      <c r="A2" s="22" t="s">
        <v>80</v>
      </c>
      <c r="B2" s="22"/>
      <c r="C2" s="22"/>
      <c r="D2" s="22"/>
      <c r="E2" s="22"/>
      <c r="F2" s="22"/>
      <c r="G2" s="22"/>
      <c r="H2" s="22"/>
      <c r="I2" s="22"/>
      <c r="J2" s="22"/>
    </row>
    <row r="3" customFormat="false" ht="7.5" hidden="false" customHeight="true" outlineLevel="0" collapsed="false"/>
    <row r="4" customFormat="false" ht="27.75" hidden="false" customHeight="true" outlineLevel="0" collapsed="false">
      <c r="A4" s="3" t="s">
        <v>81</v>
      </c>
      <c r="B4" s="3" t="s">
        <v>82</v>
      </c>
      <c r="C4" s="3" t="s">
        <v>83</v>
      </c>
      <c r="D4" s="3" t="s">
        <v>84</v>
      </c>
      <c r="E4" s="3" t="s">
        <v>85</v>
      </c>
    </row>
    <row r="5" customFormat="false" ht="21.75" hidden="false" customHeight="true" outlineLevel="0" collapsed="false">
      <c r="A5" s="23" t="s">
        <v>86</v>
      </c>
      <c r="B5" s="24" t="n">
        <v>86</v>
      </c>
      <c r="C5" s="24" t="n">
        <v>86</v>
      </c>
      <c r="D5" s="24" t="n">
        <v>0</v>
      </c>
      <c r="E5" s="24" t="s">
        <v>87</v>
      </c>
    </row>
    <row r="6" customFormat="false" ht="21.75" hidden="false" customHeight="true" outlineLevel="0" collapsed="false">
      <c r="A6" s="25" t="s">
        <v>88</v>
      </c>
      <c r="B6" s="26" t="n">
        <v>73</v>
      </c>
      <c r="C6" s="26" t="n">
        <v>73</v>
      </c>
      <c r="D6" s="26" t="n">
        <v>13</v>
      </c>
      <c r="E6" s="26" t="n">
        <v>13</v>
      </c>
    </row>
    <row r="7" customFormat="false" ht="21.75" hidden="false" customHeight="true" outlineLevel="0" collapsed="false">
      <c r="A7" s="27" t="s">
        <v>89</v>
      </c>
      <c r="B7" s="28" t="n">
        <v>52</v>
      </c>
      <c r="C7" s="28" t="n">
        <v>52</v>
      </c>
      <c r="D7" s="28" t="n">
        <v>21</v>
      </c>
      <c r="E7" s="28" t="s">
        <v>87</v>
      </c>
    </row>
    <row r="8" customFormat="false" ht="21.75" hidden="false" customHeight="true" outlineLevel="0" collapsed="false">
      <c r="A8" s="27" t="s">
        <v>90</v>
      </c>
      <c r="B8" s="28" t="n">
        <v>21</v>
      </c>
      <c r="C8" s="28" t="n">
        <v>21</v>
      </c>
      <c r="D8" s="28" t="n">
        <v>31</v>
      </c>
      <c r="E8" s="28" t="s">
        <v>87</v>
      </c>
    </row>
    <row r="9" customFormat="false" ht="21.75" hidden="false" customHeight="true" outlineLevel="0" collapsed="false">
      <c r="A9" s="27" t="s">
        <v>91</v>
      </c>
      <c r="B9" s="28" t="n">
        <v>13</v>
      </c>
      <c r="C9" s="28" t="n">
        <v>13</v>
      </c>
      <c r="D9" s="28" t="n">
        <v>8</v>
      </c>
      <c r="E9" s="28" t="s">
        <v>87</v>
      </c>
    </row>
    <row r="10" customFormat="false" ht="21.75" hidden="false" customHeight="true" outlineLevel="0" collapsed="false">
      <c r="A10" s="27" t="s">
        <v>92</v>
      </c>
      <c r="B10" s="28" t="n">
        <v>0</v>
      </c>
      <c r="C10" s="28" t="n">
        <v>0</v>
      </c>
      <c r="D10" s="28" t="n">
        <v>13</v>
      </c>
      <c r="E10" s="28" t="s">
        <v>87</v>
      </c>
    </row>
    <row r="34" customFormat="false" ht="31.5" hidden="false" customHeight="true" outlineLevel="0" collapsed="false">
      <c r="A34" s="29" t="s">
        <v>93</v>
      </c>
      <c r="B34" s="29"/>
      <c r="C34" s="29"/>
      <c r="D34" s="29"/>
      <c r="E34" s="29"/>
    </row>
  </sheetData>
  <mergeCells count="3">
    <mergeCell ref="A1:J1"/>
    <mergeCell ref="A2:J2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2026-05-13T14:24:58Z</dcterms:created>
  <dc:creator>openpyxl</dc:creator>
  <dc:description/>
  <dc:language>en-US</dc:language>
  <cp:lastModifiedBy/>
  <dcterms:modified xsi:type="dcterms:W3CDTF">2026-05-13T14:25:13Z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